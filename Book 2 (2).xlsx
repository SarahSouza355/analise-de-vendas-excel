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82E9E30A-3F22-4AE5-BA41-1374CDD48B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nalise-de-vendas-exc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I15" i="1" s="1"/>
  <c r="F8" i="1"/>
  <c r="F7" i="1"/>
  <c r="I14" i="1" l="1"/>
  <c r="I7" i="1"/>
  <c r="I10" i="1"/>
  <c r="I9" i="1"/>
</calcChain>
</file>

<file path=xl/sharedStrings.xml><?xml version="1.0" encoding="utf-8"?>
<sst xmlns="http://schemas.openxmlformats.org/spreadsheetml/2006/main" count="40" uniqueCount="28">
  <si>
    <r>
      <rPr>
        <b/>
        <sz val="16"/>
        <color rgb="FFFFF5F7"/>
        <rFont val="Calibri"/>
        <scheme val="minor"/>
      </rPr>
      <t>ANÁLISE DE VENDAS</t>
    </r>
    <r>
      <rPr>
        <sz val="16"/>
        <color rgb="FFFFF5F7"/>
        <rFont val="Calibri"/>
        <scheme val="minor"/>
      </rPr>
      <t xml:space="preserve"> - Relatório comercial - 2026</t>
    </r>
  </si>
  <si>
    <t>Produto</t>
  </si>
  <si>
    <t>Categoria</t>
  </si>
  <si>
    <t>Quantidade</t>
  </si>
  <si>
    <t>Preço Unitário</t>
  </si>
  <si>
    <t>Faturamento</t>
  </si>
  <si>
    <t>INDICADORES DE VENDAS</t>
  </si>
  <si>
    <t>PRINCIPAIS DESCOBERTAS</t>
  </si>
  <si>
    <t>Caderno</t>
  </si>
  <si>
    <t>Papelaria</t>
  </si>
  <si>
    <t>Faturamento total</t>
  </si>
  <si>
    <t>O faturamento total foi de 2.724,50.</t>
  </si>
  <si>
    <t>Caneta</t>
  </si>
  <si>
    <t>Quantidade total vendida</t>
  </si>
  <si>
    <t>A categoria Acessórios gerou R$ 2.060,00.</t>
  </si>
  <si>
    <t>Mochila</t>
  </si>
  <si>
    <t>Acessórios</t>
  </si>
  <si>
    <t>Produto com maior faturamento</t>
  </si>
  <si>
    <t>A Mochila foi o produto com maior faturamento individual.</t>
  </si>
  <si>
    <t>Estojo</t>
  </si>
  <si>
    <t>Faturamento médio por produto</t>
  </si>
  <si>
    <t>A categoria Papelaria gerou R$ 664,50.</t>
  </si>
  <si>
    <t>Lápis</t>
  </si>
  <si>
    <t>Garrafa</t>
  </si>
  <si>
    <t>Borracha</t>
  </si>
  <si>
    <t>Régua</t>
  </si>
  <si>
    <t>Bolsa</t>
  </si>
  <si>
    <t>Marca-texto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</si>
</sst>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4">
    <font>
      <sz val="11"/>
      <color theme="1"/>
      <name val="Calibri"/>
      <family val="2"/>
      <scheme val="minor"/>
    </font>
    <font>
      <sz val="12"/>
      <color theme="1"/>
      <name val="Arial"/>
    </font>
    <font>
      <b/>
      <sz val="12"/>
      <color rgb="FF648235"/>
      <name val="Arial"/>
    </font>
    <font>
      <sz val="12"/>
      <color rgb="FF548235"/>
      <name val="Arial"/>
    </font>
    <font>
      <sz val="16"/>
      <color theme="1"/>
      <name val="Calibri"/>
      <family val="2"/>
      <scheme val="minor"/>
    </font>
    <font>
      <b/>
      <sz val="16"/>
      <color rgb="FFFFF5F7"/>
      <name val="Calibri"/>
      <scheme val="minor"/>
    </font>
    <font>
      <sz val="16"/>
      <color rgb="FFFFF5F7"/>
      <name val="Calibri"/>
      <scheme val="minor"/>
    </font>
    <font>
      <b/>
      <sz val="12"/>
      <color rgb="FFFFF5F7"/>
      <name val="Arial"/>
    </font>
    <font>
      <sz val="11"/>
      <color rgb="FF542536"/>
      <name val="Arial"/>
    </font>
    <font>
      <sz val="12"/>
      <color rgb="FF542536"/>
      <name val="Arial"/>
    </font>
    <font>
      <b/>
      <sz val="14"/>
      <color rgb="FFFFF5F7"/>
      <name val="Arial"/>
    </font>
    <font>
      <sz val="14"/>
      <color rgb="FF542536"/>
      <name val="Arial"/>
    </font>
    <font>
      <b/>
      <sz val="14"/>
      <color rgb="FF542536"/>
      <name val="Arial"/>
    </font>
    <font>
      <sz val="14"/>
      <color rgb="FF54253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83250"/>
        <bgColor indexed="64"/>
      </patternFill>
    </fill>
    <fill>
      <patternFill patternType="solid">
        <fgColor rgb="FFFFF5F7"/>
        <bgColor indexed="64"/>
      </patternFill>
    </fill>
    <fill>
      <patternFill patternType="solid">
        <fgColor rgb="FFD9DDE3"/>
        <bgColor indexed="64"/>
      </patternFill>
    </fill>
    <fill>
      <patternFill patternType="solid">
        <fgColor rgb="FFFFE8EE"/>
        <bgColor indexed="64"/>
      </patternFill>
    </fill>
  </fills>
  <borders count="10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4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Border="1"/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3" borderId="0" xfId="0" applyFont="1" applyFill="1" applyBorder="1"/>
    <xf numFmtId="0" fontId="1" fillId="3" borderId="0" xfId="0" applyFont="1" applyFill="1"/>
    <xf numFmtId="0" fontId="2" fillId="3" borderId="0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8" fillId="3" borderId="1" xfId="0" applyFont="1" applyFill="1" applyBorder="1"/>
    <xf numFmtId="0" fontId="8" fillId="3" borderId="2" xfId="0" applyFont="1" applyFill="1" applyBorder="1"/>
    <xf numFmtId="0" fontId="8" fillId="3" borderId="5" xfId="0" applyFont="1" applyFill="1" applyBorder="1"/>
    <xf numFmtId="0" fontId="8" fillId="3" borderId="7" xfId="0" applyFont="1" applyFill="1" applyBorder="1"/>
    <xf numFmtId="0" fontId="8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164" fontId="8" fillId="3" borderId="2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/>
    </xf>
    <xf numFmtId="164" fontId="8" fillId="3" borderId="6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4" borderId="1" xfId="0" applyFont="1" applyFill="1" applyBorder="1"/>
    <xf numFmtId="164" fontId="12" fillId="4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0" fontId="11" fillId="5" borderId="1" xfId="0" applyFont="1" applyFill="1" applyBorder="1"/>
    <xf numFmtId="0" fontId="13" fillId="5" borderId="1" xfId="0" applyFont="1" applyFill="1" applyBorder="1"/>
    <xf numFmtId="0" fontId="11" fillId="3" borderId="1" xfId="0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42536"/>
        <name val="Arial"/>
        <scheme val="none"/>
      </font>
      <numFmt numFmtId="164" formatCode="&quot;R$&quot;\ #,##0.00"/>
      <fill>
        <patternFill patternType="solid">
          <fgColor indexed="64"/>
          <bgColor rgb="FFFFF5F7"/>
        </patternFill>
      </fill>
      <alignment horizontal="center"/>
      <border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42536"/>
        <name val="Arial"/>
        <scheme val="none"/>
      </font>
      <numFmt numFmtId="164" formatCode="&quot;R$&quot;\ #,##0.00"/>
      <fill>
        <patternFill patternType="solid">
          <fgColor indexed="64"/>
          <bgColor rgb="FFFFF5F7"/>
        </patternFill>
      </fill>
      <alignment horizontal="center"/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42536"/>
        <name val="Arial"/>
        <scheme val="none"/>
      </font>
      <fill>
        <patternFill patternType="solid">
          <fgColor indexed="64"/>
          <bgColor rgb="FFFFF5F7"/>
        </patternFill>
      </fill>
      <alignment horizontal="center"/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42536"/>
        <name val="Arial"/>
        <scheme val="none"/>
      </font>
      <fill>
        <patternFill patternType="solid">
          <fgColor indexed="64"/>
          <bgColor rgb="FFFFF5F7"/>
        </patternFill>
      </fill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42536"/>
        <name val="Arial"/>
        <scheme val="none"/>
      </font>
      <fill>
        <patternFill patternType="solid">
          <fgColor indexed="64"/>
          <bgColor rgb="FFFFF5F7"/>
        </patternFill>
      </fill>
      <border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top style="thin">
          <color theme="2" tint="-0.249977111117893"/>
        </top>
      </border>
    </dxf>
    <dxf>
      <border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8F4F8"/>
        <name val="Arial"/>
        <scheme val="none"/>
      </font>
      <fill>
        <patternFill patternType="solid">
          <fgColor indexed="64"/>
          <bgColor rgb="FFE8B7D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5F7"/>
        <name val="Arial"/>
        <scheme val="none"/>
      </font>
      <fill>
        <patternFill patternType="solid">
          <fgColor indexed="64"/>
          <bgColor rgb="FFA83250"/>
        </patternFill>
      </fill>
      <alignment horizontal="center" vertical="center" textRotation="0" wrapText="0" indent="0" justifyLastLine="0" shrinkToFit="0" readingOrder="0"/>
      <border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</dxfs>
  <tableStyles count="0" defaultTableStyle="TableStyleMedium2" defaultPivotStyle="PivotStyleMedium9"/>
  <colors>
    <mruColors>
      <color rgb="FFFFF5F7"/>
      <color rgb="FF542536"/>
      <color rgb="FFB85872"/>
      <color rgb="FFA6314F"/>
      <color rgb="FFFFE8EE"/>
      <color rgb="FFF2C6D2"/>
      <color rgb="FFA83250"/>
      <color rgb="FFD9DDE3"/>
      <color rgb="FFF8F4F8"/>
      <color rgb="FFE8B7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4253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4253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'analise-de-vendas-excel'!$F$6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A6314F"/>
            </a:solidFill>
            <a:ln w="12700" cap="flat" cmpd="sng" algn="ctr">
              <a:solidFill>
                <a:srgbClr val="648235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'analise-de-vendas-excel'!$B$7:$B$18</c:f>
              <c:strCache>
                <c:ptCount val="10"/>
                <c:pt idx="0">
                  <c:v>Caderno</c:v>
                </c:pt>
                <c:pt idx="1">
                  <c:v>Caneta</c:v>
                </c:pt>
                <c:pt idx="2">
                  <c:v>Mochila</c:v>
                </c:pt>
                <c:pt idx="3">
                  <c:v>Estojo</c:v>
                </c:pt>
                <c:pt idx="4">
                  <c:v>Lápis</c:v>
                </c:pt>
                <c:pt idx="5">
                  <c:v>Garrafa</c:v>
                </c:pt>
                <c:pt idx="6">
                  <c:v>Borracha</c:v>
                </c:pt>
                <c:pt idx="7">
                  <c:v>Régua</c:v>
                </c:pt>
                <c:pt idx="8">
                  <c:v>Bolsa</c:v>
                </c:pt>
                <c:pt idx="9">
                  <c:v>Marca-texto</c:v>
                </c:pt>
              </c:strCache>
            </c:strRef>
          </c:cat>
          <c:val>
            <c:numRef>
              <c:f>'analise-de-vendas-excel'!$F$7:$F$18</c:f>
              <c:numCache>
                <c:formatCode>"R$"\ #,##0.00</c:formatCode>
                <c:ptCount val="12"/>
                <c:pt idx="0">
                  <c:v>270</c:v>
                </c:pt>
                <c:pt idx="1">
                  <c:v>105</c:v>
                </c:pt>
                <c:pt idx="2">
                  <c:v>960</c:v>
                </c:pt>
                <c:pt idx="3">
                  <c:v>300</c:v>
                </c:pt>
                <c:pt idx="4">
                  <c:v>80</c:v>
                </c:pt>
                <c:pt idx="5">
                  <c:v>350</c:v>
                </c:pt>
                <c:pt idx="6">
                  <c:v>37.5</c:v>
                </c:pt>
                <c:pt idx="7">
                  <c:v>72</c:v>
                </c:pt>
                <c:pt idx="8">
                  <c:v>450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1-4943-8D43-3B547191A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845128"/>
        <c:axId val="1979872776"/>
      </c:barChart>
      <c:catAx>
        <c:axId val="1979845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72776"/>
        <c:crosses val="autoZero"/>
        <c:auto val="1"/>
        <c:lblAlgn val="ctr"/>
        <c:lblOffset val="100"/>
        <c:noMultiLvlLbl val="0"/>
      </c:catAx>
      <c:valAx>
        <c:axId val="197987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4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'analise-de-vendas-excel'!$H$14</c:f>
              <c:strCache>
                <c:ptCount val="1"/>
                <c:pt idx="0">
                  <c:v>Papelaria</c:v>
                </c:pt>
              </c:strCache>
            </c:strRef>
          </c:tx>
          <c:spPr>
            <a:solidFill>
              <a:srgbClr val="B85872"/>
            </a:solidFill>
            <a:ln>
              <a:noFill/>
            </a:ln>
            <a:effectLst/>
          </c:spPr>
          <c:invertIfNegative val="0"/>
          <c:cat>
            <c:multiLvlStrRef>
              <c:f>'analise-de-vendas-excel'!$I$6:$I$13</c:f>
              <c:multiLvlStrCache>
                <c:ptCount val="1"/>
                <c:lvl>
                  <c:pt idx="0">
                    <c:v>Faturamento</c:v>
                  </c:pt>
                </c:lvl>
                <c:lvl/>
                <c:lvl/>
                <c:lvl>
                  <c:pt idx="0">
                    <c:v>R$ 272,45</c:v>
                  </c:pt>
                </c:lvl>
                <c:lvl>
                  <c:pt idx="0">
                    <c:v>Mochila</c:v>
                  </c:pt>
                </c:lvl>
                <c:lvl>
                  <c:pt idx="0">
                    <c:v>203</c:v>
                  </c:pt>
                </c:lvl>
                <c:lvl>
                  <c:pt idx="0">
                    <c:v>R$ 2.724,50</c:v>
                  </c:pt>
                </c:lvl>
                <c:lvl/>
              </c:multiLvlStrCache>
            </c:multiLvlStrRef>
          </c:cat>
          <c:val>
            <c:numRef>
              <c:f>'analise-de-vendas-excel'!$I$14</c:f>
              <c:numCache>
                <c:formatCode>"R$"\ #,##0.00</c:formatCode>
                <c:ptCount val="1"/>
                <c:pt idx="0">
                  <c:v>664.5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416-4E78-BE98-F3E50D3AE4EC}"/>
            </c:ext>
          </c:extLst>
        </c:ser>
        <c:ser>
          <c:idx val="1"/>
          <c:order val="1"/>
          <c:tx>
            <c:strRef>
              <c:f>'analise-de-vendas-excel'!$H$15</c:f>
              <c:strCache>
                <c:ptCount val="1"/>
                <c:pt idx="0">
                  <c:v>Acessórios</c:v>
                </c:pt>
              </c:strCache>
            </c:strRef>
          </c:tx>
          <c:spPr>
            <a:solidFill>
              <a:srgbClr val="A83250"/>
            </a:solidFill>
            <a:ln w="12700" cap="flat" cmpd="sng" algn="ctr">
              <a:solidFill>
                <a:srgbClr val="648235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32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416-4E78-BE98-F3E50D3AE4EC}"/>
              </c:ext>
            </c:extLst>
          </c:dPt>
          <c:cat>
            <c:multiLvlStrRef>
              <c:f>'analise-de-vendas-excel'!$I$6:$I$13</c:f>
              <c:multiLvlStrCache>
                <c:ptCount val="1"/>
                <c:lvl>
                  <c:pt idx="0">
                    <c:v>Faturamento</c:v>
                  </c:pt>
                </c:lvl>
                <c:lvl/>
                <c:lvl/>
                <c:lvl>
                  <c:pt idx="0">
                    <c:v>R$ 272,45</c:v>
                  </c:pt>
                </c:lvl>
                <c:lvl>
                  <c:pt idx="0">
                    <c:v>Mochila</c:v>
                  </c:pt>
                </c:lvl>
                <c:lvl>
                  <c:pt idx="0">
                    <c:v>203</c:v>
                  </c:pt>
                </c:lvl>
                <c:lvl>
                  <c:pt idx="0">
                    <c:v>R$ 2.724,50</c:v>
                  </c:pt>
                </c:lvl>
                <c:lvl/>
              </c:multiLvlStrCache>
            </c:multiLvlStrRef>
          </c:cat>
          <c:val>
            <c:numRef>
              <c:f>'analise-de-vendas-excel'!$I$15</c:f>
              <c:numCache>
                <c:formatCode>"R$"\ #,##0.00</c:formatCode>
                <c:ptCount val="1"/>
                <c:pt idx="0">
                  <c:v>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416-4E78-BE98-F3E50D3AE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7586183"/>
        <c:axId val="640613896"/>
      </c:barChart>
      <c:catAx>
        <c:axId val="1897586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0613896"/>
        <c:crosses val="autoZero"/>
        <c:auto val="1"/>
        <c:lblAlgn val="ctr"/>
        <c:lblOffset val="100"/>
        <c:noMultiLvlLbl val="0"/>
      </c:catAx>
      <c:valAx>
        <c:axId val="64061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86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19</xdr:row>
      <xdr:rowOff>0</xdr:rowOff>
    </xdr:from>
    <xdr:to>
      <xdr:col>5</xdr:col>
      <xdr:colOff>771525</xdr:colOff>
      <xdr:row>34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BE7D0B-1F82-CD0F-5556-9DCAE8292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133350</xdr:colOff>
      <xdr:row>19</xdr:row>
      <xdr:rowOff>152400</xdr:rowOff>
    </xdr:from>
    <xdr:to>
      <xdr:col>10</xdr:col>
      <xdr:colOff>76200</xdr:colOff>
      <xdr:row>33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CE2954-A4E4-EAF6-5ED9-A872AD63F787}"/>
            </a:ext>
            <a:ext uri="{147F2762-F138-4A5C-976F-8EAC2B608ADB}">
              <a16:predDERef xmlns:a16="http://schemas.microsoft.com/office/drawing/2014/main" pred="{47BE7D0B-1F82-CD0F-5556-9DCAE8292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8A261-B31B-4799-A771-6A290E0B5A31}" name="Tabela1" displayName="Tabela1" ref="B6:F16" totalsRowShown="0" headerRowDxfId="9" dataDxfId="8" headerRowBorderDxfId="6" tableBorderDxfId="7" totalsRowBorderDxfId="5">
  <autoFilter ref="B6:F16" xr:uid="{99E8A261-B31B-4799-A771-6A290E0B5A31}"/>
  <tableColumns count="5">
    <tableColumn id="1" xr3:uid="{6A025A38-5B67-41FA-907D-EA846A18AC1E}" name="Produto" dataDxfId="4"/>
    <tableColumn id="2" xr3:uid="{1C8FA950-EA08-466E-98F5-2451FECA0698}" name="Categoria" dataDxfId="3"/>
    <tableColumn id="3" xr3:uid="{8353B005-EABA-4949-99FF-3CE0A1FE7A0B}" name="Quantidade" dataDxfId="2"/>
    <tableColumn id="4" xr3:uid="{A0ABC557-50F5-4CF5-BE56-AACE0324859B}" name="Preço Unitário" dataDxfId="1"/>
    <tableColumn id="5" xr3:uid="{C4147451-54BF-43EB-920B-9090B44F03BC}" name="Faturamento" dataDxfId="0">
      <calculatedColumnFormula>D7*E7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"/>
  <sheetViews>
    <sheetView tabSelected="1" workbookViewId="0">
      <selection activeCell="G2" sqref="G2"/>
    </sheetView>
  </sheetViews>
  <sheetFormatPr defaultRowHeight="15"/>
  <cols>
    <col min="1" max="1" width="6.5703125" customWidth="1"/>
    <col min="2" max="2" width="12.42578125" customWidth="1"/>
    <col min="3" max="3" width="14.28515625" bestFit="1" customWidth="1"/>
    <col min="4" max="4" width="16.28515625" bestFit="1" customWidth="1"/>
    <col min="5" max="5" width="19.42578125" customWidth="1"/>
    <col min="6" max="6" width="17.5703125" bestFit="1" customWidth="1"/>
    <col min="8" max="8" width="39.85546875" customWidth="1"/>
    <col min="9" max="9" width="17.7109375" style="3" customWidth="1"/>
    <col min="12" max="12" width="7.42578125" customWidth="1"/>
    <col min="13" max="13" width="9.28515625" customWidth="1"/>
    <col min="14" max="14" width="24" customWidth="1"/>
    <col min="15" max="15" width="20" customWidth="1"/>
    <col min="16" max="16" width="6.5703125" customWidth="1"/>
  </cols>
  <sheetData>
    <row r="1" spans="1:23">
      <c r="A1" s="6"/>
      <c r="B1" s="6"/>
      <c r="C1" s="6"/>
      <c r="D1" s="6"/>
      <c r="E1" s="6"/>
      <c r="F1" s="6"/>
      <c r="G1" s="6"/>
      <c r="H1" s="6"/>
      <c r="I1" s="7"/>
      <c r="J1" s="6"/>
      <c r="K1" s="6"/>
      <c r="L1" s="6"/>
      <c r="M1" s="6"/>
      <c r="N1" s="6"/>
      <c r="O1" s="6"/>
      <c r="P1" s="6"/>
    </row>
    <row r="2" spans="1:23">
      <c r="A2" s="6"/>
      <c r="B2" s="6"/>
      <c r="C2" s="6"/>
      <c r="D2" s="6"/>
      <c r="E2" s="6"/>
      <c r="F2" s="6"/>
      <c r="G2" s="6"/>
      <c r="H2" s="6"/>
      <c r="I2" s="7"/>
      <c r="J2" s="6"/>
      <c r="K2" s="6"/>
      <c r="L2" s="6"/>
      <c r="M2" s="6"/>
      <c r="N2" s="6"/>
      <c r="O2" s="6"/>
      <c r="P2" s="6"/>
    </row>
    <row r="3" spans="1:23">
      <c r="A3" s="6"/>
      <c r="B3" s="39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23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23">
      <c r="A5" s="6"/>
      <c r="B5" s="6"/>
      <c r="C5" s="6"/>
      <c r="D5" s="6"/>
      <c r="E5" s="6"/>
      <c r="F5" s="6"/>
      <c r="G5" s="6"/>
      <c r="H5" s="6"/>
      <c r="I5" s="7"/>
      <c r="J5" s="6"/>
      <c r="K5" s="6"/>
      <c r="L5" s="6"/>
      <c r="M5" s="6"/>
      <c r="N5" s="6"/>
      <c r="O5" s="6"/>
      <c r="P5" s="6"/>
    </row>
    <row r="6" spans="1:23" ht="18">
      <c r="A6" s="6"/>
      <c r="B6" s="26" t="s">
        <v>1</v>
      </c>
      <c r="C6" s="23" t="s">
        <v>2</v>
      </c>
      <c r="D6" s="23" t="s">
        <v>3</v>
      </c>
      <c r="E6" s="23" t="s">
        <v>4</v>
      </c>
      <c r="F6" s="27" t="s">
        <v>5</v>
      </c>
      <c r="G6" s="8"/>
      <c r="H6" s="30" t="s">
        <v>6</v>
      </c>
      <c r="I6" s="30"/>
      <c r="J6" s="9"/>
      <c r="K6" s="30" t="s">
        <v>7</v>
      </c>
      <c r="L6" s="30"/>
      <c r="M6" s="30"/>
      <c r="N6" s="30"/>
      <c r="O6" s="30"/>
      <c r="P6" s="6"/>
      <c r="R6" s="4"/>
    </row>
    <row r="7" spans="1:23" ht="18.75">
      <c r="A7" s="6"/>
      <c r="B7" s="18" t="s">
        <v>8</v>
      </c>
      <c r="C7" s="16" t="s">
        <v>9</v>
      </c>
      <c r="D7" s="20">
        <v>15</v>
      </c>
      <c r="E7" s="21">
        <v>18</v>
      </c>
      <c r="F7" s="28">
        <f>D7*E7</f>
        <v>270</v>
      </c>
      <c r="G7" s="8"/>
      <c r="H7" s="31" t="s">
        <v>10</v>
      </c>
      <c r="I7" s="32">
        <f>SUM(F7:F16)</f>
        <v>2724.5</v>
      </c>
      <c r="J7" s="8"/>
      <c r="K7" s="34" t="s">
        <v>11</v>
      </c>
      <c r="L7" s="35"/>
      <c r="M7" s="36"/>
      <c r="N7" s="36"/>
      <c r="O7" s="36"/>
      <c r="P7" s="6"/>
      <c r="R7" s="4"/>
      <c r="S7" s="4"/>
      <c r="T7" s="4"/>
      <c r="U7" s="4"/>
      <c r="V7" s="4"/>
      <c r="W7" s="4"/>
    </row>
    <row r="8" spans="1:23" ht="18">
      <c r="A8" s="6"/>
      <c r="B8" s="18" t="s">
        <v>12</v>
      </c>
      <c r="C8" s="16" t="s">
        <v>9</v>
      </c>
      <c r="D8" s="20">
        <v>30</v>
      </c>
      <c r="E8" s="21">
        <v>3.5</v>
      </c>
      <c r="F8" s="28">
        <f>D8*E8</f>
        <v>105</v>
      </c>
      <c r="G8" s="8"/>
      <c r="H8" s="31" t="s">
        <v>13</v>
      </c>
      <c r="I8" s="33">
        <v>203</v>
      </c>
      <c r="J8" s="8"/>
      <c r="K8" s="34" t="s">
        <v>14</v>
      </c>
      <c r="L8" s="34"/>
      <c r="M8" s="34"/>
      <c r="N8" s="34"/>
      <c r="O8" s="34"/>
      <c r="P8" s="6"/>
      <c r="R8" s="4"/>
      <c r="S8" s="4"/>
      <c r="T8" s="4"/>
      <c r="U8" s="4"/>
      <c r="V8" s="4"/>
      <c r="W8" s="4"/>
    </row>
    <row r="9" spans="1:23" ht="18.75">
      <c r="A9" s="6"/>
      <c r="B9" s="18" t="s">
        <v>15</v>
      </c>
      <c r="C9" s="16" t="s">
        <v>16</v>
      </c>
      <c r="D9" s="20">
        <v>8</v>
      </c>
      <c r="E9" s="21">
        <v>120</v>
      </c>
      <c r="F9" s="28">
        <f>D9*E9</f>
        <v>960</v>
      </c>
      <c r="G9" s="8"/>
      <c r="H9" s="31" t="s">
        <v>17</v>
      </c>
      <c r="I9" s="33" t="str">
        <f>INDEX(Tabela1[Produto],MATCH(MAX(Tabela1[Faturamento]),Tabela1[Faturamento],0))</f>
        <v>Mochila</v>
      </c>
      <c r="J9" s="8"/>
      <c r="K9" s="34" t="s">
        <v>18</v>
      </c>
      <c r="L9" s="35"/>
      <c r="M9" s="36"/>
      <c r="N9" s="36"/>
      <c r="O9" s="36"/>
      <c r="P9" s="6"/>
      <c r="R9" s="4"/>
      <c r="S9" s="4"/>
      <c r="T9" s="4"/>
      <c r="U9" s="4"/>
      <c r="V9" s="4"/>
      <c r="W9" s="4"/>
    </row>
    <row r="10" spans="1:23" ht="18">
      <c r="A10" s="6"/>
      <c r="B10" s="18" t="s">
        <v>19</v>
      </c>
      <c r="C10" s="16" t="s">
        <v>16</v>
      </c>
      <c r="D10" s="20">
        <v>12</v>
      </c>
      <c r="E10" s="21">
        <v>25</v>
      </c>
      <c r="F10" s="28">
        <f>D10*E10</f>
        <v>300</v>
      </c>
      <c r="G10" s="8"/>
      <c r="H10" s="31" t="s">
        <v>20</v>
      </c>
      <c r="I10" s="32">
        <f>AVERAGE(Tabela1[Faturamento])</f>
        <v>272.45</v>
      </c>
      <c r="J10" s="8"/>
      <c r="K10" s="34" t="s">
        <v>21</v>
      </c>
      <c r="L10" s="34"/>
      <c r="M10" s="34"/>
      <c r="N10" s="34"/>
      <c r="O10" s="34"/>
      <c r="P10" s="6"/>
    </row>
    <row r="11" spans="1:23" ht="15.75">
      <c r="A11" s="6"/>
      <c r="B11" s="18" t="s">
        <v>22</v>
      </c>
      <c r="C11" s="16" t="s">
        <v>9</v>
      </c>
      <c r="D11" s="20">
        <v>40</v>
      </c>
      <c r="E11" s="22">
        <v>2</v>
      </c>
      <c r="F11" s="28">
        <f>D11*E11</f>
        <v>80</v>
      </c>
      <c r="G11" s="8"/>
      <c r="H11" s="8"/>
      <c r="I11" s="10"/>
      <c r="J11" s="8"/>
      <c r="K11" s="8"/>
      <c r="L11" s="8"/>
      <c r="M11" s="8"/>
      <c r="N11" s="8"/>
      <c r="O11" s="8"/>
      <c r="P11" s="8"/>
      <c r="Q11" s="4"/>
    </row>
    <row r="12" spans="1:23" ht="15.75">
      <c r="A12" s="6"/>
      <c r="B12" s="18" t="s">
        <v>23</v>
      </c>
      <c r="C12" s="16" t="s">
        <v>16</v>
      </c>
      <c r="D12" s="20">
        <v>10</v>
      </c>
      <c r="E12" s="21">
        <v>35</v>
      </c>
      <c r="F12" s="28">
        <f>D12*E12</f>
        <v>350</v>
      </c>
      <c r="G12" s="8"/>
      <c r="H12" s="11"/>
      <c r="I12" s="10"/>
      <c r="J12" s="8"/>
      <c r="K12" s="8"/>
      <c r="L12" s="8"/>
      <c r="M12" s="8"/>
      <c r="N12" s="8"/>
      <c r="O12" s="8"/>
      <c r="P12" s="8"/>
      <c r="Q12" s="4"/>
    </row>
    <row r="13" spans="1:23" ht="18">
      <c r="A13" s="6"/>
      <c r="B13" s="18" t="s">
        <v>24</v>
      </c>
      <c r="C13" s="16" t="s">
        <v>9</v>
      </c>
      <c r="D13" s="20">
        <v>25</v>
      </c>
      <c r="E13" s="21">
        <v>1.5</v>
      </c>
      <c r="F13" s="28">
        <f>D13*E13</f>
        <v>37.5</v>
      </c>
      <c r="G13" s="8"/>
      <c r="H13" s="40" t="s">
        <v>2</v>
      </c>
      <c r="I13" s="40" t="s">
        <v>5</v>
      </c>
      <c r="J13" s="8"/>
      <c r="K13" s="8"/>
      <c r="L13" s="8"/>
      <c r="M13" s="8"/>
      <c r="N13" s="8"/>
      <c r="O13" s="8"/>
      <c r="P13" s="8"/>
      <c r="Q13" s="4"/>
    </row>
    <row r="14" spans="1:23" ht="18">
      <c r="A14" s="6"/>
      <c r="B14" s="18" t="s">
        <v>25</v>
      </c>
      <c r="C14" s="16" t="s">
        <v>9</v>
      </c>
      <c r="D14" s="20">
        <v>18</v>
      </c>
      <c r="E14" s="21">
        <v>4</v>
      </c>
      <c r="F14" s="28">
        <f>D14*E14</f>
        <v>72</v>
      </c>
      <c r="G14" s="8"/>
      <c r="H14" s="37" t="s">
        <v>9</v>
      </c>
      <c r="I14" s="38">
        <f>SUMIF(Tabela1[Categoria],H14,Tabela1[Faturamento])</f>
        <v>664.5</v>
      </c>
      <c r="J14" s="8"/>
      <c r="K14" s="8"/>
      <c r="L14" s="8"/>
      <c r="M14" s="8"/>
      <c r="N14" s="8"/>
      <c r="O14" s="8"/>
      <c r="P14" s="8"/>
      <c r="Q14" s="4"/>
    </row>
    <row r="15" spans="1:23" ht="18">
      <c r="A15" s="6"/>
      <c r="B15" s="18" t="s">
        <v>26</v>
      </c>
      <c r="C15" s="16" t="s">
        <v>16</v>
      </c>
      <c r="D15" s="20">
        <v>5</v>
      </c>
      <c r="E15" s="21">
        <v>90</v>
      </c>
      <c r="F15" s="28">
        <f>D15*E15</f>
        <v>450</v>
      </c>
      <c r="G15" s="8"/>
      <c r="H15" s="37" t="s">
        <v>16</v>
      </c>
      <c r="I15" s="38">
        <f>SUMIF(Tabela1[Categoria],H15,Tabela1[Faturamento])</f>
        <v>2060</v>
      </c>
      <c r="J15" s="8"/>
      <c r="K15" s="6"/>
      <c r="L15" s="6"/>
      <c r="M15" s="6"/>
      <c r="N15" s="6"/>
      <c r="O15" s="6"/>
      <c r="P15" s="6"/>
    </row>
    <row r="16" spans="1:23">
      <c r="A16" s="6"/>
      <c r="B16" s="19" t="s">
        <v>27</v>
      </c>
      <c r="C16" s="17" t="s">
        <v>9</v>
      </c>
      <c r="D16" s="24">
        <v>20</v>
      </c>
      <c r="E16" s="25">
        <v>5</v>
      </c>
      <c r="F16" s="29">
        <f>D16*E16</f>
        <v>100</v>
      </c>
      <c r="G16" s="8"/>
      <c r="H16" s="8"/>
      <c r="I16" s="10"/>
      <c r="J16" s="8"/>
      <c r="K16" s="6"/>
      <c r="L16" s="6"/>
      <c r="M16" s="6"/>
      <c r="N16" s="6"/>
      <c r="O16" s="6"/>
      <c r="P16" s="6"/>
    </row>
    <row r="17" spans="1:17" ht="15.75">
      <c r="A17" s="6"/>
      <c r="B17" s="12"/>
      <c r="C17" s="12"/>
      <c r="D17" s="12"/>
      <c r="E17" s="12"/>
      <c r="F17" s="12"/>
      <c r="G17" s="12"/>
      <c r="H17" s="6"/>
      <c r="I17" s="7"/>
      <c r="J17" s="12"/>
      <c r="K17" s="12"/>
      <c r="L17" s="12"/>
      <c r="M17" s="12"/>
      <c r="N17" s="12"/>
      <c r="O17" s="12"/>
      <c r="P17" s="12"/>
      <c r="Q17" s="1"/>
    </row>
    <row r="18" spans="1:17" ht="15.75">
      <c r="A18" s="6"/>
      <c r="B18" s="12"/>
      <c r="C18" s="11"/>
      <c r="D18" s="11"/>
      <c r="E18" s="13"/>
      <c r="F18" s="14"/>
      <c r="G18" s="11"/>
      <c r="H18" s="11"/>
      <c r="I18" s="7"/>
      <c r="J18" s="12"/>
      <c r="K18" s="12"/>
      <c r="L18" s="12"/>
      <c r="M18" s="12"/>
      <c r="N18" s="12"/>
      <c r="O18" s="12"/>
      <c r="P18" s="12"/>
      <c r="Q18" s="1"/>
    </row>
    <row r="19" spans="1:17" ht="15.75">
      <c r="A19" s="6"/>
      <c r="B19" s="12"/>
      <c r="C19" s="12"/>
      <c r="D19" s="12"/>
      <c r="E19" s="12"/>
      <c r="F19" s="12"/>
      <c r="G19" s="12"/>
      <c r="H19" s="12"/>
      <c r="I19" s="15"/>
      <c r="J19" s="12"/>
      <c r="K19" s="12"/>
      <c r="L19" s="12"/>
      <c r="M19" s="12"/>
      <c r="N19" s="12"/>
      <c r="O19" s="12"/>
      <c r="P19" s="12"/>
      <c r="Q19" s="1"/>
    </row>
    <row r="20" spans="1:17" ht="15.75">
      <c r="A20" s="6"/>
      <c r="B20" s="12"/>
      <c r="C20" s="12"/>
      <c r="D20" s="12"/>
      <c r="E20" s="12"/>
      <c r="F20" s="12"/>
      <c r="G20" s="12"/>
      <c r="H20" s="12"/>
      <c r="I20" s="15"/>
      <c r="J20" s="12"/>
      <c r="K20" s="12"/>
      <c r="L20" s="12"/>
      <c r="M20" s="12"/>
      <c r="N20" s="12"/>
      <c r="O20" s="12"/>
      <c r="P20" s="12"/>
      <c r="Q20" s="1"/>
    </row>
    <row r="21" spans="1:17" ht="15.75">
      <c r="A21" s="6"/>
      <c r="B21" s="12"/>
      <c r="C21" s="12"/>
      <c r="D21" s="12"/>
      <c r="E21" s="12"/>
      <c r="F21" s="12"/>
      <c r="G21" s="12"/>
      <c r="H21" s="12"/>
      <c r="I21" s="15"/>
      <c r="J21" s="12"/>
      <c r="K21" s="12"/>
      <c r="L21" s="12"/>
      <c r="M21" s="12"/>
      <c r="N21" s="12"/>
      <c r="O21" s="12"/>
      <c r="P21" s="12"/>
      <c r="Q21" s="1"/>
    </row>
    <row r="22" spans="1:17" ht="15.75">
      <c r="A22" s="6"/>
      <c r="B22" s="12"/>
      <c r="C22" s="12"/>
      <c r="D22" s="12"/>
      <c r="E22" s="12"/>
      <c r="F22" s="12"/>
      <c r="G22" s="12"/>
      <c r="H22" s="12"/>
      <c r="I22" s="15"/>
      <c r="J22" s="12"/>
      <c r="K22" s="12"/>
      <c r="L22" s="12"/>
      <c r="M22" s="12"/>
      <c r="N22" s="12"/>
      <c r="O22" s="12"/>
      <c r="P22" s="12"/>
      <c r="Q22" s="1"/>
    </row>
    <row r="23" spans="1:17" ht="15.75">
      <c r="A23" s="6"/>
      <c r="B23" s="12"/>
      <c r="C23" s="12"/>
      <c r="D23" s="12"/>
      <c r="E23" s="12"/>
      <c r="F23" s="12"/>
      <c r="G23" s="12"/>
      <c r="H23" s="12"/>
      <c r="I23" s="15"/>
      <c r="J23" s="12"/>
      <c r="K23" s="12"/>
      <c r="L23" s="12"/>
      <c r="M23" s="12"/>
      <c r="N23" s="12"/>
      <c r="O23" s="12"/>
      <c r="P23" s="12"/>
      <c r="Q23" s="1"/>
    </row>
    <row r="24" spans="1:17" ht="15.75">
      <c r="A24" s="6"/>
      <c r="B24" s="12"/>
      <c r="C24" s="12"/>
      <c r="D24" s="12"/>
      <c r="E24" s="12"/>
      <c r="F24" s="12"/>
      <c r="G24" s="12"/>
      <c r="H24" s="12"/>
      <c r="I24" s="15"/>
      <c r="J24" s="12"/>
      <c r="K24" s="12"/>
      <c r="L24" s="12"/>
      <c r="M24" s="12"/>
      <c r="N24" s="12"/>
      <c r="O24" s="12"/>
      <c r="P24" s="12"/>
      <c r="Q24" s="1"/>
    </row>
    <row r="25" spans="1:17" ht="15.75">
      <c r="A25" s="6"/>
      <c r="B25" s="12"/>
      <c r="C25" s="12"/>
      <c r="D25" s="12"/>
      <c r="E25" s="12"/>
      <c r="F25" s="12"/>
      <c r="G25" s="12"/>
      <c r="H25" s="12"/>
      <c r="I25" s="15"/>
      <c r="J25" s="12"/>
      <c r="K25" s="12"/>
      <c r="L25" s="12"/>
      <c r="M25" s="12"/>
      <c r="N25" s="12"/>
      <c r="O25" s="12"/>
      <c r="P25" s="12"/>
      <c r="Q25" s="1"/>
    </row>
    <row r="26" spans="1:17" ht="15.75">
      <c r="A26" s="6"/>
      <c r="B26" s="12"/>
      <c r="C26" s="12"/>
      <c r="D26" s="12"/>
      <c r="E26" s="12"/>
      <c r="F26" s="12"/>
      <c r="G26" s="12"/>
      <c r="H26" s="12"/>
      <c r="I26" s="15"/>
      <c r="J26" s="12"/>
      <c r="K26" s="12"/>
      <c r="L26" s="12"/>
      <c r="M26" s="12"/>
      <c r="N26" s="12"/>
      <c r="O26" s="12"/>
      <c r="P26" s="12"/>
      <c r="Q26" s="1"/>
    </row>
    <row r="27" spans="1:17" ht="15.75">
      <c r="A27" s="6"/>
      <c r="B27" s="12"/>
      <c r="C27" s="12"/>
      <c r="D27" s="12"/>
      <c r="E27" s="12"/>
      <c r="F27" s="12"/>
      <c r="G27" s="12"/>
      <c r="H27" s="12"/>
      <c r="I27" s="15"/>
      <c r="J27" s="12"/>
      <c r="K27" s="12"/>
      <c r="L27" s="12"/>
      <c r="M27" s="12"/>
      <c r="N27" s="12"/>
      <c r="O27" s="12"/>
      <c r="P27" s="12"/>
      <c r="Q27" s="1"/>
    </row>
    <row r="28" spans="1:17" ht="15.75">
      <c r="A28" s="6"/>
      <c r="B28" s="12"/>
      <c r="C28" s="12"/>
      <c r="D28" s="12"/>
      <c r="E28" s="12"/>
      <c r="F28" s="12"/>
      <c r="G28" s="12"/>
      <c r="H28" s="12"/>
      <c r="I28" s="15"/>
      <c r="J28" s="12"/>
      <c r="K28" s="12"/>
      <c r="L28" s="12"/>
      <c r="M28" s="12"/>
      <c r="N28" s="12"/>
      <c r="O28" s="12"/>
      <c r="P28" s="12"/>
      <c r="Q28" s="1"/>
    </row>
    <row r="29" spans="1:17" ht="15.75">
      <c r="A29" s="6"/>
      <c r="B29" s="12"/>
      <c r="C29" s="12"/>
      <c r="D29" s="12"/>
      <c r="E29" s="12"/>
      <c r="F29" s="12"/>
      <c r="G29" s="12"/>
      <c r="H29" s="12"/>
      <c r="I29" s="15"/>
      <c r="J29" s="12"/>
      <c r="K29" s="12"/>
      <c r="L29" s="12"/>
      <c r="M29" s="12"/>
      <c r="N29" s="12"/>
      <c r="O29" s="12"/>
      <c r="P29" s="12"/>
      <c r="Q29" s="1"/>
    </row>
    <row r="30" spans="1:17" ht="15.75">
      <c r="A30" s="6"/>
      <c r="B30" s="12"/>
      <c r="C30" s="12"/>
      <c r="D30" s="12"/>
      <c r="E30" s="12"/>
      <c r="F30" s="12"/>
      <c r="G30" s="12"/>
      <c r="H30" s="12"/>
      <c r="I30" s="15"/>
      <c r="J30" s="12"/>
      <c r="K30" s="12"/>
      <c r="L30" s="12"/>
      <c r="M30" s="12"/>
      <c r="N30" s="12"/>
      <c r="O30" s="12"/>
      <c r="P30" s="12"/>
      <c r="Q30" s="1"/>
    </row>
    <row r="31" spans="1:17" ht="15.75">
      <c r="A31" s="6"/>
      <c r="B31" s="12"/>
      <c r="C31" s="12"/>
      <c r="D31" s="12"/>
      <c r="E31" s="12"/>
      <c r="F31" s="12"/>
      <c r="G31" s="12"/>
      <c r="H31" s="12"/>
      <c r="I31" s="15"/>
      <c r="J31" s="12"/>
      <c r="K31" s="12"/>
      <c r="L31" s="12"/>
      <c r="M31" s="12"/>
      <c r="N31" s="12"/>
      <c r="O31" s="12"/>
      <c r="P31" s="12"/>
      <c r="Q31" s="1"/>
    </row>
    <row r="32" spans="1:17" ht="15.75">
      <c r="A32" s="6"/>
      <c r="B32" s="12"/>
      <c r="C32" s="12"/>
      <c r="D32" s="12"/>
      <c r="E32" s="12"/>
      <c r="F32" s="12"/>
      <c r="G32" s="12"/>
      <c r="H32" s="12"/>
      <c r="I32" s="15"/>
      <c r="J32" s="12"/>
      <c r="K32" s="12"/>
      <c r="L32" s="12"/>
      <c r="M32" s="12"/>
      <c r="N32" s="12"/>
      <c r="O32" s="12"/>
      <c r="P32" s="12"/>
      <c r="Q32" s="1"/>
    </row>
    <row r="33" spans="1:17" ht="15.75">
      <c r="A33" s="6"/>
      <c r="B33" s="12"/>
      <c r="C33" s="12"/>
      <c r="D33" s="12"/>
      <c r="E33" s="12"/>
      <c r="F33" s="12"/>
      <c r="G33" s="12"/>
      <c r="H33" s="12"/>
      <c r="I33" s="15"/>
      <c r="J33" s="12"/>
      <c r="K33" s="12"/>
      <c r="L33" s="12"/>
      <c r="M33" s="12"/>
      <c r="N33" s="12"/>
      <c r="O33" s="12"/>
      <c r="P33" s="12"/>
      <c r="Q33" s="1"/>
    </row>
    <row r="34" spans="1:17" ht="15.75">
      <c r="A34" s="6"/>
      <c r="B34" s="12"/>
      <c r="C34" s="12"/>
      <c r="D34" s="12"/>
      <c r="E34" s="12"/>
      <c r="F34" s="12"/>
      <c r="G34" s="12"/>
      <c r="H34" s="12"/>
      <c r="I34" s="15"/>
      <c r="J34" s="12"/>
      <c r="K34" s="12"/>
      <c r="L34" s="12"/>
      <c r="M34" s="12"/>
      <c r="N34" s="12"/>
      <c r="O34" s="12"/>
      <c r="P34" s="12"/>
      <c r="Q34" s="1"/>
    </row>
    <row r="35" spans="1:17" ht="15.75">
      <c r="A35" s="6"/>
      <c r="B35" s="12"/>
      <c r="C35" s="12"/>
      <c r="D35" s="12"/>
      <c r="E35" s="12"/>
      <c r="F35" s="12"/>
      <c r="G35" s="12"/>
      <c r="H35" s="12"/>
      <c r="I35" s="15"/>
      <c r="J35" s="12"/>
      <c r="K35" s="12"/>
      <c r="L35" s="12"/>
      <c r="M35" s="12"/>
      <c r="N35" s="12"/>
      <c r="O35" s="12"/>
      <c r="P35" s="12"/>
      <c r="Q35" s="1"/>
    </row>
    <row r="36" spans="1:17" ht="15.75">
      <c r="A36" s="6"/>
      <c r="B36" s="12"/>
      <c r="C36" s="12"/>
      <c r="D36" s="12"/>
      <c r="E36" s="12"/>
      <c r="F36" s="12"/>
      <c r="G36" s="12"/>
      <c r="H36" s="12"/>
      <c r="I36" s="15"/>
      <c r="J36" s="12"/>
      <c r="K36" s="12"/>
      <c r="L36" s="12"/>
      <c r="M36" s="12"/>
      <c r="N36" s="12"/>
      <c r="O36" s="12"/>
      <c r="P36" s="12"/>
      <c r="Q36" s="1"/>
    </row>
    <row r="37" spans="1:17" ht="15.75"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</row>
    <row r="38" spans="1:17" ht="15.75"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</row>
    <row r="39" spans="1:17" ht="15.75"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</row>
    <row r="40" spans="1:17" ht="15.75"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</row>
    <row r="41" spans="1:17" ht="15.75"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</row>
    <row r="42" spans="1:17" ht="15.75"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</row>
    <row r="43" spans="1:17" ht="15.75"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</row>
    <row r="44" spans="1:17" ht="15.75"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</row>
  </sheetData>
  <mergeCells count="3">
    <mergeCell ref="H6:I6"/>
    <mergeCell ref="K6:O6"/>
    <mergeCell ref="B3:O4"/>
  </mergeCells>
  <conditionalFormatting sqref="Q12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2026-10-26T14:48:22Z</dcterms:created>
  <dcterms:modified xsi:type="dcterms:W3CDTF">2026-10-26T17:13:10Z</dcterms:modified>
  <cp:category/>
  <cp:contentStatus/>
</cp:coreProperties>
</file>